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deuk/Documents/졸업과제/matlab_script_05_29/"/>
    </mc:Choice>
  </mc:AlternateContent>
  <xr:revisionPtr revIDLastSave="0" documentId="13_ncr:1_{96DB4DE1-8136-6348-B0C6-6A8E1D611A86}" xr6:coauthVersionLast="47" xr6:coauthVersionMax="47" xr10:uidLastSave="{00000000-0000-0000-0000-000000000000}"/>
  <bookViews>
    <workbookView xWindow="9700" yWindow="1960" windowWidth="28100" windowHeight="17380" xr2:uid="{0B78BE1E-C12E-314A-872F-5C54C3EAC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E91" i="1"/>
  <c r="E92" i="1" s="1"/>
  <c r="E93" i="1" s="1"/>
  <c r="E94" i="1" s="1"/>
  <c r="E95" i="1" s="1"/>
  <c r="E96" i="1" s="1"/>
  <c r="E97" i="1" s="1"/>
  <c r="E83" i="1"/>
  <c r="E84" i="1" s="1"/>
  <c r="E85" i="1" s="1"/>
  <c r="E86" i="1" s="1"/>
  <c r="E87" i="1" s="1"/>
  <c r="E88" i="1" s="1"/>
  <c r="E89" i="1" s="1"/>
  <c r="E75" i="1"/>
  <c r="E76" i="1" s="1"/>
  <c r="E77" i="1" s="1"/>
  <c r="E78" i="1" s="1"/>
  <c r="E79" i="1" s="1"/>
  <c r="E80" i="1" s="1"/>
  <c r="E81" i="1" s="1"/>
  <c r="E67" i="1"/>
  <c r="E68" i="1" s="1"/>
  <c r="E69" i="1" s="1"/>
  <c r="E70" i="1" s="1"/>
  <c r="E71" i="1" s="1"/>
  <c r="E72" i="1" s="1"/>
  <c r="E73" i="1" s="1"/>
  <c r="E59" i="1"/>
  <c r="E60" i="1" s="1"/>
  <c r="E61" i="1" s="1"/>
  <c r="E62" i="1" s="1"/>
  <c r="E63" i="1" s="1"/>
  <c r="E64" i="1" s="1"/>
  <c r="E65" i="1" s="1"/>
  <c r="E51" i="1"/>
  <c r="E52" i="1" s="1"/>
  <c r="E53" i="1" s="1"/>
  <c r="E54" i="1" s="1"/>
  <c r="E55" i="1" s="1"/>
  <c r="E56" i="1" s="1"/>
  <c r="E57" i="1" s="1"/>
  <c r="D60" i="1"/>
  <c r="D68" i="1" s="1"/>
  <c r="D76" i="1" s="1"/>
  <c r="D84" i="1" s="1"/>
  <c r="D92" i="1" s="1"/>
  <c r="D61" i="1"/>
  <c r="D69" i="1" s="1"/>
  <c r="D77" i="1" s="1"/>
  <c r="D85" i="1" s="1"/>
  <c r="D93" i="1" s="1"/>
  <c r="D62" i="1"/>
  <c r="D70" i="1" s="1"/>
  <c r="D78" i="1" s="1"/>
  <c r="D86" i="1" s="1"/>
  <c r="D94" i="1" s="1"/>
  <c r="D63" i="1"/>
  <c r="D71" i="1" s="1"/>
  <c r="D79" i="1" s="1"/>
  <c r="D87" i="1" s="1"/>
  <c r="D95" i="1" s="1"/>
  <c r="D64" i="1"/>
  <c r="D72" i="1" s="1"/>
  <c r="D80" i="1" s="1"/>
  <c r="D88" i="1" s="1"/>
  <c r="D96" i="1" s="1"/>
  <c r="D51" i="1"/>
  <c r="D59" i="1" s="1"/>
  <c r="D67" i="1" s="1"/>
  <c r="D75" i="1" s="1"/>
  <c r="D83" i="1" s="1"/>
  <c r="D91" i="1" s="1"/>
  <c r="D52" i="1"/>
  <c r="D53" i="1"/>
  <c r="D54" i="1"/>
  <c r="D55" i="1"/>
  <c r="D56" i="1"/>
  <c r="D57" i="1"/>
  <c r="D65" i="1" s="1"/>
  <c r="D73" i="1" s="1"/>
  <c r="D81" i="1" s="1"/>
  <c r="D89" i="1" s="1"/>
  <c r="D97" i="1" s="1"/>
  <c r="D50" i="1"/>
  <c r="D58" i="1" s="1"/>
  <c r="D66" i="1" s="1"/>
  <c r="D74" i="1" s="1"/>
  <c r="D82" i="1" s="1"/>
  <c r="D90" i="1" s="1"/>
  <c r="E43" i="1"/>
  <c r="E44" i="1" s="1"/>
  <c r="E45" i="1" s="1"/>
  <c r="E46" i="1" s="1"/>
  <c r="E47" i="1" s="1"/>
  <c r="E48" i="1" s="1"/>
  <c r="E49" i="1" s="1"/>
  <c r="E35" i="1"/>
  <c r="E36" i="1" s="1"/>
  <c r="E37" i="1" s="1"/>
  <c r="E38" i="1" s="1"/>
  <c r="E39" i="1" s="1"/>
  <c r="E40" i="1" s="1"/>
  <c r="E41" i="1" s="1"/>
  <c r="E27" i="1"/>
  <c r="E28" i="1" s="1"/>
  <c r="E29" i="1" s="1"/>
  <c r="E30" i="1" s="1"/>
  <c r="E31" i="1" s="1"/>
  <c r="E32" i="1" s="1"/>
  <c r="E33" i="1" s="1"/>
  <c r="E19" i="1"/>
  <c r="E20" i="1" s="1"/>
  <c r="E21" i="1" s="1"/>
  <c r="E22" i="1" s="1"/>
  <c r="E23" i="1" s="1"/>
  <c r="E24" i="1" s="1"/>
  <c r="E25" i="1" s="1"/>
  <c r="D43" i="1"/>
  <c r="D44" i="1"/>
  <c r="D45" i="1"/>
  <c r="D46" i="1"/>
  <c r="D47" i="1"/>
  <c r="D48" i="1"/>
  <c r="D49" i="1"/>
  <c r="D42" i="1"/>
  <c r="D35" i="1"/>
  <c r="D36" i="1"/>
  <c r="D37" i="1"/>
  <c r="D38" i="1"/>
  <c r="D39" i="1"/>
  <c r="D40" i="1"/>
  <c r="D41" i="1"/>
  <c r="D34" i="1"/>
  <c r="D27" i="1"/>
  <c r="D28" i="1"/>
  <c r="D29" i="1"/>
  <c r="D30" i="1"/>
  <c r="D31" i="1"/>
  <c r="D32" i="1"/>
  <c r="D33" i="1"/>
  <c r="D26" i="1"/>
  <c r="D19" i="1"/>
  <c r="D20" i="1"/>
  <c r="D21" i="1"/>
  <c r="D22" i="1"/>
  <c r="D23" i="1"/>
  <c r="D24" i="1"/>
  <c r="D25" i="1"/>
  <c r="D18" i="1"/>
  <c r="E11" i="1"/>
  <c r="E12" i="1" s="1"/>
  <c r="E13" i="1" s="1"/>
  <c r="E14" i="1" s="1"/>
  <c r="E15" i="1" s="1"/>
  <c r="E16" i="1" s="1"/>
  <c r="E17" i="1" s="1"/>
  <c r="D11" i="1"/>
  <c r="D12" i="1"/>
  <c r="D13" i="1"/>
  <c r="D14" i="1"/>
  <c r="D15" i="1"/>
  <c r="D16" i="1"/>
  <c r="D17" i="1"/>
  <c r="D10" i="1"/>
  <c r="E3" i="1"/>
  <c r="E4" i="1" s="1"/>
  <c r="E5" i="1" s="1"/>
  <c r="E6" i="1" s="1"/>
  <c r="E7" i="1" s="1"/>
  <c r="E8" i="1" s="1"/>
  <c r="E9" i="1" s="1"/>
</calcChain>
</file>

<file path=xl/sharedStrings.xml><?xml version="1.0" encoding="utf-8"?>
<sst xmlns="http://schemas.openxmlformats.org/spreadsheetml/2006/main" count="4" uniqueCount="4">
  <si>
    <t>X</t>
    <phoneticPr fontId="1" type="noConversion"/>
  </si>
  <si>
    <t>u</t>
    <phoneticPr fontId="1" type="noConversion"/>
  </si>
  <si>
    <t>v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</si>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</sst>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5EA0-0503-DD4C-B8E3-BB366B75D4B3}">
  <dimension ref="A1:G146"/>
  <sheetViews>
    <sheetView tabSelected="1" topLeftCell="A81" workbookViewId="0">
      <selection activeCell="D98" sqref="D98:D145"/>
    </sheetView>
  </sheetViews>
  <sheetFormatPr baseColWidth="10" defaultRowHeight="18"/>
  <sheetData>
    <row r="1" spans="1:5">
      <c r="B1" t="s">
        <v>1</v>
      </c>
      <c r="C1" t="s">
        <v>2</v>
      </c>
      <c r="D1" t="s">
        <v>0</v>
      </c>
      <c r="E1" t="s">
        <v>3</v>
      </c>
    </row>
    <row r="2" spans="1:5">
      <c r="A2" s="1">
        <v>1</v>
      </c>
      <c r="B2">
        <v>184.55699999999999</v>
      </c>
      <c r="C2">
        <v>123.002</v>
      </c>
      <c r="D2">
        <v>30.2</v>
      </c>
      <c r="E2">
        <v>10.050000000000001</v>
      </c>
    </row>
    <row r="3" spans="1:5">
      <c r="B3">
        <v>225.249</v>
      </c>
      <c r="C3">
        <v>122.991</v>
      </c>
      <c r="D3">
        <v>30.2</v>
      </c>
      <c r="E3">
        <f t="shared" ref="E3:E9" si="0">E2-2.85</f>
        <v>7.2000000000000011</v>
      </c>
    </row>
    <row r="4" spans="1:5">
      <c r="A4" s="1"/>
      <c r="B4">
        <v>265.75599999999997</v>
      </c>
      <c r="C4">
        <v>123.54900000000001</v>
      </c>
      <c r="D4">
        <v>30.2</v>
      </c>
      <c r="E4">
        <f t="shared" si="0"/>
        <v>4.3500000000000014</v>
      </c>
    </row>
    <row r="5" spans="1:5">
      <c r="B5">
        <v>305.93799999999999</v>
      </c>
      <c r="C5">
        <v>123.508</v>
      </c>
      <c r="D5">
        <v>30.2</v>
      </c>
      <c r="E5">
        <f t="shared" si="0"/>
        <v>1.5000000000000013</v>
      </c>
    </row>
    <row r="6" spans="1:5">
      <c r="B6">
        <v>346.37099999999998</v>
      </c>
      <c r="C6">
        <v>123.89400000000001</v>
      </c>
      <c r="D6">
        <v>30.2</v>
      </c>
      <c r="E6">
        <f t="shared" si="0"/>
        <v>-1.3499999999999988</v>
      </c>
    </row>
    <row r="7" spans="1:5">
      <c r="B7">
        <v>386.30099999999999</v>
      </c>
      <c r="C7">
        <v>123.601</v>
      </c>
      <c r="D7">
        <v>30.2</v>
      </c>
      <c r="E7">
        <f t="shared" si="0"/>
        <v>-4.1999999999999993</v>
      </c>
    </row>
    <row r="8" spans="1:5">
      <c r="B8">
        <v>426.69200000000001</v>
      </c>
      <c r="C8">
        <v>123.911</v>
      </c>
      <c r="D8">
        <v>30.2</v>
      </c>
      <c r="E8">
        <f t="shared" si="0"/>
        <v>-7.0499999999999989</v>
      </c>
    </row>
    <row r="9" spans="1:5">
      <c r="B9">
        <v>466.86500000000001</v>
      </c>
      <c r="C9">
        <v>124.331</v>
      </c>
      <c r="D9">
        <v>30.2</v>
      </c>
      <c r="E9">
        <f t="shared" si="0"/>
        <v>-9.8999999999999986</v>
      </c>
    </row>
    <row r="10" spans="1:5">
      <c r="B10">
        <v>174.214</v>
      </c>
      <c r="C10">
        <v>141.947</v>
      </c>
      <c r="D10">
        <f>30.2-2.85</f>
        <v>27.349999999999998</v>
      </c>
      <c r="E10">
        <v>10.050000000000001</v>
      </c>
    </row>
    <row r="11" spans="1:5">
      <c r="B11">
        <v>217.57499999999999</v>
      </c>
      <c r="C11">
        <v>141.636</v>
      </c>
      <c r="D11">
        <f t="shared" ref="D11:D17" si="1">30.2-2.85</f>
        <v>27.349999999999998</v>
      </c>
      <c r="E11">
        <f t="shared" ref="E11:E17" si="2">E10-2.85</f>
        <v>7.2000000000000011</v>
      </c>
    </row>
    <row r="12" spans="1:5">
      <c r="B12">
        <v>261.14600000000002</v>
      </c>
      <c r="C12">
        <v>142.04599999999999</v>
      </c>
      <c r="D12">
        <f t="shared" si="1"/>
        <v>27.349999999999998</v>
      </c>
      <c r="E12">
        <f t="shared" si="2"/>
        <v>4.3500000000000014</v>
      </c>
    </row>
    <row r="13" spans="1:5">
      <c r="B13">
        <v>304.61599999999999</v>
      </c>
      <c r="C13">
        <v>142.22999999999999</v>
      </c>
      <c r="D13">
        <f t="shared" si="1"/>
        <v>27.349999999999998</v>
      </c>
      <c r="E13">
        <f t="shared" si="2"/>
        <v>1.5000000000000013</v>
      </c>
    </row>
    <row r="14" spans="1:5">
      <c r="B14">
        <v>347.86900000000003</v>
      </c>
      <c r="C14">
        <v>142.80199999999999</v>
      </c>
      <c r="D14">
        <f t="shared" si="1"/>
        <v>27.349999999999998</v>
      </c>
      <c r="E14">
        <f t="shared" si="2"/>
        <v>-1.3499999999999988</v>
      </c>
    </row>
    <row r="15" spans="1:5">
      <c r="B15">
        <v>391.08499999999998</v>
      </c>
      <c r="C15">
        <v>143.047</v>
      </c>
      <c r="D15">
        <f t="shared" si="1"/>
        <v>27.349999999999998</v>
      </c>
      <c r="E15">
        <f t="shared" si="2"/>
        <v>-4.1999999999999993</v>
      </c>
    </row>
    <row r="16" spans="1:5">
      <c r="B16">
        <v>434.55599999999998</v>
      </c>
      <c r="C16">
        <v>142.226</v>
      </c>
      <c r="D16">
        <f t="shared" si="1"/>
        <v>27.349999999999998</v>
      </c>
      <c r="E16">
        <f t="shared" si="2"/>
        <v>-7.0499999999999989</v>
      </c>
    </row>
    <row r="17" spans="2:5">
      <c r="B17">
        <v>478.12400000000002</v>
      </c>
      <c r="C17">
        <v>142.55500000000001</v>
      </c>
      <c r="D17">
        <f t="shared" si="1"/>
        <v>27.349999999999998</v>
      </c>
      <c r="E17">
        <f t="shared" si="2"/>
        <v>-9.8999999999999986</v>
      </c>
    </row>
    <row r="18" spans="2:5">
      <c r="B18">
        <v>160.88</v>
      </c>
      <c r="C18">
        <v>164.167</v>
      </c>
      <c r="D18">
        <f>27.35-2.85</f>
        <v>24.5</v>
      </c>
      <c r="E18">
        <v>10.050000000000001</v>
      </c>
    </row>
    <row r="19" spans="2:5">
      <c r="B19">
        <v>208.74100000000001</v>
      </c>
      <c r="C19">
        <v>164.06899999999999</v>
      </c>
      <c r="D19">
        <f t="shared" ref="D19:D25" si="3">27.35-2.85</f>
        <v>24.5</v>
      </c>
      <c r="E19">
        <f t="shared" ref="E19:E25" si="4">E18-2.85</f>
        <v>7.2000000000000011</v>
      </c>
    </row>
    <row r="20" spans="2:5">
      <c r="B20">
        <v>255.96899999999999</v>
      </c>
      <c r="C20">
        <v>164.39599999999999</v>
      </c>
      <c r="D20">
        <f t="shared" si="3"/>
        <v>24.5</v>
      </c>
      <c r="E20">
        <f t="shared" si="4"/>
        <v>4.3500000000000014</v>
      </c>
    </row>
    <row r="21" spans="2:5">
      <c r="B21">
        <v>302.90100000000001</v>
      </c>
      <c r="C21">
        <v>164.66200000000001</v>
      </c>
      <c r="D21">
        <f t="shared" si="3"/>
        <v>24.5</v>
      </c>
      <c r="E21">
        <f t="shared" si="4"/>
        <v>1.5000000000000013</v>
      </c>
    </row>
    <row r="22" spans="2:5">
      <c r="B22">
        <v>349.81299999999999</v>
      </c>
      <c r="C22">
        <v>165.13200000000001</v>
      </c>
      <c r="D22">
        <f t="shared" si="3"/>
        <v>24.5</v>
      </c>
      <c r="E22">
        <f t="shared" si="4"/>
        <v>-1.3499999999999988</v>
      </c>
    </row>
    <row r="23" spans="2:5">
      <c r="B23">
        <v>396.62</v>
      </c>
      <c r="C23">
        <v>164.59</v>
      </c>
      <c r="D23">
        <f t="shared" si="3"/>
        <v>24.5</v>
      </c>
      <c r="E23">
        <f t="shared" si="4"/>
        <v>-4.1999999999999993</v>
      </c>
    </row>
    <row r="24" spans="2:5">
      <c r="B24">
        <v>443.67899999999997</v>
      </c>
      <c r="C24">
        <v>164.398</v>
      </c>
      <c r="D24">
        <f t="shared" si="3"/>
        <v>24.5</v>
      </c>
      <c r="E24">
        <f t="shared" si="4"/>
        <v>-7.0499999999999989</v>
      </c>
    </row>
    <row r="25" spans="2:5">
      <c r="B25">
        <v>491.01600000000002</v>
      </c>
      <c r="C25">
        <v>163.47900000000001</v>
      </c>
      <c r="D25">
        <f t="shared" si="3"/>
        <v>24.5</v>
      </c>
      <c r="E25">
        <f t="shared" si="4"/>
        <v>-9.8999999999999986</v>
      </c>
    </row>
    <row r="26" spans="2:5">
      <c r="B26">
        <v>147.142</v>
      </c>
      <c r="C26">
        <v>188.86600000000001</v>
      </c>
      <c r="D26">
        <f>24.5-2.85</f>
        <v>21.65</v>
      </c>
      <c r="E26">
        <v>10.050000000000001</v>
      </c>
    </row>
    <row r="27" spans="2:5">
      <c r="B27">
        <v>198.05099999999999</v>
      </c>
      <c r="C27">
        <v>190.00299999999999</v>
      </c>
      <c r="D27">
        <f t="shared" ref="D27:D33" si="5">24.5-2.85</f>
        <v>21.65</v>
      </c>
      <c r="E27">
        <f t="shared" ref="E27:E33" si="6">E26-2.85</f>
        <v>7.2000000000000011</v>
      </c>
    </row>
    <row r="28" spans="2:5">
      <c r="B28">
        <v>249.85400000000001</v>
      </c>
      <c r="C28">
        <v>190.42400000000001</v>
      </c>
      <c r="D28">
        <f t="shared" si="5"/>
        <v>21.65</v>
      </c>
      <c r="E28">
        <f t="shared" si="6"/>
        <v>4.3500000000000014</v>
      </c>
    </row>
    <row r="29" spans="2:5">
      <c r="B29">
        <v>301.04500000000002</v>
      </c>
      <c r="C29">
        <v>190.50200000000001</v>
      </c>
      <c r="D29">
        <f t="shared" si="5"/>
        <v>21.65</v>
      </c>
      <c r="E29">
        <f t="shared" si="6"/>
        <v>1.5000000000000013</v>
      </c>
    </row>
    <row r="30" spans="2:5">
      <c r="B30">
        <v>352.04199999999997</v>
      </c>
      <c r="C30">
        <v>190.29599999999999</v>
      </c>
      <c r="D30">
        <f t="shared" si="5"/>
        <v>21.65</v>
      </c>
      <c r="E30">
        <f t="shared" si="6"/>
        <v>-1.3499999999999988</v>
      </c>
    </row>
    <row r="31" spans="2:5">
      <c r="B31">
        <v>403.15</v>
      </c>
      <c r="C31">
        <v>190.37100000000001</v>
      </c>
      <c r="D31">
        <f t="shared" si="5"/>
        <v>21.65</v>
      </c>
      <c r="E31">
        <f t="shared" si="6"/>
        <v>-4.1999999999999993</v>
      </c>
    </row>
    <row r="32" spans="2:5">
      <c r="B32">
        <v>454.41500000000002</v>
      </c>
      <c r="C32">
        <v>189.90700000000001</v>
      </c>
      <c r="D32">
        <f t="shared" si="5"/>
        <v>21.65</v>
      </c>
      <c r="E32">
        <f t="shared" si="6"/>
        <v>-7.0499999999999989</v>
      </c>
    </row>
    <row r="33" spans="2:5">
      <c r="B33">
        <v>505.90600000000001</v>
      </c>
      <c r="C33">
        <v>188.88300000000001</v>
      </c>
      <c r="D33">
        <f t="shared" si="5"/>
        <v>21.65</v>
      </c>
      <c r="E33">
        <f t="shared" si="6"/>
        <v>-9.8999999999999986</v>
      </c>
    </row>
    <row r="34" spans="2:5">
      <c r="B34">
        <v>128.23099999999999</v>
      </c>
      <c r="C34">
        <v>219.643</v>
      </c>
      <c r="D34">
        <f>21.65-2.85</f>
        <v>18.799999999999997</v>
      </c>
      <c r="E34">
        <v>10.050000000000001</v>
      </c>
    </row>
    <row r="35" spans="2:5">
      <c r="B35">
        <v>185.98099999999999</v>
      </c>
      <c r="C35">
        <v>219.88900000000001</v>
      </c>
      <c r="D35">
        <f t="shared" ref="D35:D41" si="7">21.65-2.85</f>
        <v>18.799999999999997</v>
      </c>
      <c r="E35">
        <f t="shared" ref="E35:E41" si="8">E34-2.85</f>
        <v>7.2000000000000011</v>
      </c>
    </row>
    <row r="36" spans="2:5">
      <c r="B36">
        <v>242.47900000000001</v>
      </c>
      <c r="C36">
        <v>219.964</v>
      </c>
      <c r="D36">
        <f t="shared" si="7"/>
        <v>18.799999999999997</v>
      </c>
      <c r="E36">
        <f t="shared" si="8"/>
        <v>4.3500000000000014</v>
      </c>
    </row>
    <row r="37" spans="2:5">
      <c r="B37">
        <v>298.70999999999998</v>
      </c>
      <c r="C37">
        <v>220.221</v>
      </c>
      <c r="D37">
        <f t="shared" si="7"/>
        <v>18.799999999999997</v>
      </c>
      <c r="E37">
        <f t="shared" si="8"/>
        <v>1.5000000000000013</v>
      </c>
    </row>
    <row r="38" spans="2:5">
      <c r="B38">
        <v>354.85199999999998</v>
      </c>
      <c r="C38">
        <v>220.249</v>
      </c>
      <c r="D38">
        <f t="shared" si="7"/>
        <v>18.799999999999997</v>
      </c>
      <c r="E38">
        <f t="shared" si="8"/>
        <v>-1.3499999999999988</v>
      </c>
    </row>
    <row r="39" spans="2:5">
      <c r="B39">
        <v>411.06599999999997</v>
      </c>
      <c r="C39">
        <v>220.64</v>
      </c>
      <c r="D39">
        <f t="shared" si="7"/>
        <v>18.799999999999997</v>
      </c>
      <c r="E39">
        <f t="shared" si="8"/>
        <v>-4.1999999999999993</v>
      </c>
    </row>
    <row r="40" spans="2:5">
      <c r="B40">
        <v>467.44099999999997</v>
      </c>
      <c r="C40">
        <v>220.57400000000001</v>
      </c>
      <c r="D40">
        <f t="shared" si="7"/>
        <v>18.799999999999997</v>
      </c>
      <c r="E40">
        <f t="shared" si="8"/>
        <v>-7.0499999999999989</v>
      </c>
    </row>
    <row r="41" spans="2:5">
      <c r="B41">
        <v>524.09699999999998</v>
      </c>
      <c r="C41">
        <v>219.74</v>
      </c>
      <c r="D41">
        <f t="shared" si="7"/>
        <v>18.799999999999997</v>
      </c>
      <c r="E41">
        <f t="shared" si="8"/>
        <v>-9.8999999999999986</v>
      </c>
    </row>
    <row r="42" spans="2:5">
      <c r="B42">
        <v>107.601</v>
      </c>
      <c r="C42">
        <v>257.72699999999998</v>
      </c>
      <c r="D42">
        <f>18.8-2.85</f>
        <v>15.950000000000001</v>
      </c>
      <c r="E42">
        <v>10.050000000000001</v>
      </c>
    </row>
    <row r="43" spans="2:5">
      <c r="B43">
        <v>170.268</v>
      </c>
      <c r="C43">
        <v>258.25299999999999</v>
      </c>
      <c r="D43">
        <f t="shared" ref="D43:D49" si="9">18.8-2.85</f>
        <v>15.950000000000001</v>
      </c>
      <c r="E43">
        <f t="shared" ref="E43:E49" si="10">E42-2.85</f>
        <v>7.2000000000000011</v>
      </c>
    </row>
    <row r="44" spans="2:5">
      <c r="B44">
        <v>233.34399999999999</v>
      </c>
      <c r="C44">
        <v>258.37900000000002</v>
      </c>
      <c r="D44">
        <f t="shared" si="9"/>
        <v>15.950000000000001</v>
      </c>
      <c r="E44">
        <f t="shared" si="10"/>
        <v>4.3500000000000014</v>
      </c>
    </row>
    <row r="45" spans="2:5">
      <c r="B45">
        <v>295.88</v>
      </c>
      <c r="C45">
        <v>258.45</v>
      </c>
      <c r="D45">
        <f t="shared" si="9"/>
        <v>15.950000000000001</v>
      </c>
      <c r="E45">
        <f t="shared" si="10"/>
        <v>1.5000000000000013</v>
      </c>
    </row>
    <row r="46" spans="2:5">
      <c r="B46">
        <v>358.291</v>
      </c>
      <c r="C46">
        <v>258.73399999999998</v>
      </c>
      <c r="D46">
        <f t="shared" si="9"/>
        <v>15.950000000000001</v>
      </c>
      <c r="E46">
        <f t="shared" si="10"/>
        <v>-1.3499999999999988</v>
      </c>
    </row>
    <row r="47" spans="2:5">
      <c r="B47">
        <v>420.74299999999999</v>
      </c>
      <c r="C47">
        <v>258.23200000000003</v>
      </c>
      <c r="D47">
        <f t="shared" si="9"/>
        <v>15.950000000000001</v>
      </c>
      <c r="E47">
        <f t="shared" si="10"/>
        <v>-4.1999999999999993</v>
      </c>
    </row>
    <row r="48" spans="2:5">
      <c r="B48">
        <v>483.637</v>
      </c>
      <c r="C48">
        <v>257.58300000000003</v>
      </c>
      <c r="D48">
        <f t="shared" si="9"/>
        <v>15.950000000000001</v>
      </c>
      <c r="E48">
        <f t="shared" si="10"/>
        <v>-7.0499999999999989</v>
      </c>
    </row>
    <row r="49" spans="1:5">
      <c r="B49">
        <v>545.91099999999994</v>
      </c>
      <c r="C49">
        <v>256.899</v>
      </c>
      <c r="D49">
        <f t="shared" si="9"/>
        <v>15.950000000000001</v>
      </c>
      <c r="E49">
        <f t="shared" si="10"/>
        <v>-9.8999999999999986</v>
      </c>
    </row>
    <row r="50" spans="1:5">
      <c r="A50">
        <v>2</v>
      </c>
      <c r="B50">
        <v>134.983</v>
      </c>
      <c r="C50">
        <v>58.892000000000003</v>
      </c>
      <c r="D50">
        <f>30+2.85*5</f>
        <v>44.25</v>
      </c>
      <c r="E50">
        <v>19.95</v>
      </c>
    </row>
    <row r="51" spans="1:5">
      <c r="B51">
        <v>163.346</v>
      </c>
      <c r="C51">
        <v>59.993000000000002</v>
      </c>
      <c r="D51">
        <f t="shared" ref="D51:D57" si="11">30+2.85*5</f>
        <v>44.25</v>
      </c>
      <c r="E51">
        <f>E50-2.85</f>
        <v>17.099999999999998</v>
      </c>
    </row>
    <row r="52" spans="1:5">
      <c r="B52">
        <v>194.27600000000001</v>
      </c>
      <c r="C52">
        <v>59.9358</v>
      </c>
      <c r="D52">
        <f t="shared" si="11"/>
        <v>44.25</v>
      </c>
      <c r="E52">
        <f t="shared" ref="E52:E57" si="12">E51-2.85</f>
        <v>14.249999999999998</v>
      </c>
    </row>
    <row r="53" spans="1:5">
      <c r="B53">
        <v>224.273</v>
      </c>
      <c r="C53">
        <v>59.9024</v>
      </c>
      <c r="D53">
        <f t="shared" si="11"/>
        <v>44.25</v>
      </c>
      <c r="E53">
        <f t="shared" si="12"/>
        <v>11.399999999999999</v>
      </c>
    </row>
    <row r="54" spans="1:5">
      <c r="B54">
        <v>253.87</v>
      </c>
      <c r="C54">
        <v>60.91</v>
      </c>
      <c r="D54">
        <f t="shared" si="11"/>
        <v>44.25</v>
      </c>
      <c r="E54">
        <f t="shared" si="12"/>
        <v>8.5499999999999989</v>
      </c>
    </row>
    <row r="55" spans="1:5">
      <c r="B55">
        <v>283.57600000000002</v>
      </c>
      <c r="C55">
        <v>60.758600000000001</v>
      </c>
      <c r="D55">
        <f t="shared" si="11"/>
        <v>44.25</v>
      </c>
      <c r="E55">
        <f t="shared" si="12"/>
        <v>5.6999999999999993</v>
      </c>
    </row>
    <row r="56" spans="1:5">
      <c r="B56">
        <v>313.59699999999998</v>
      </c>
      <c r="C56">
        <v>61.562100000000001</v>
      </c>
      <c r="D56">
        <f t="shared" si="11"/>
        <v>44.25</v>
      </c>
      <c r="E56">
        <f t="shared" si="12"/>
        <v>2.8499999999999992</v>
      </c>
    </row>
    <row r="57" spans="1:5">
      <c r="B57">
        <v>343.61399999999998</v>
      </c>
      <c r="C57">
        <v>61.865400000000001</v>
      </c>
      <c r="D57">
        <f t="shared" si="11"/>
        <v>44.25</v>
      </c>
      <c r="E57">
        <f t="shared" si="12"/>
        <v>0</v>
      </c>
    </row>
    <row r="58" spans="1:5">
      <c r="B58">
        <v>121.673</v>
      </c>
      <c r="C58">
        <v>69.116900000000001</v>
      </c>
      <c r="D58">
        <f>D50-2.85</f>
        <v>41.4</v>
      </c>
      <c r="E58">
        <v>19.95</v>
      </c>
    </row>
    <row r="59" spans="1:5">
      <c r="B59">
        <v>154.709</v>
      </c>
      <c r="C59">
        <v>68.813500000000005</v>
      </c>
      <c r="D59">
        <f t="shared" ref="D59:D64" si="13">D51-2.85</f>
        <v>41.4</v>
      </c>
      <c r="E59">
        <f>E58-2.85</f>
        <v>17.099999999999998</v>
      </c>
    </row>
    <row r="60" spans="1:5">
      <c r="B60">
        <v>185.41499999999999</v>
      </c>
      <c r="C60">
        <v>69.941000000000003</v>
      </c>
      <c r="D60">
        <f t="shared" si="13"/>
        <v>41.4</v>
      </c>
      <c r="E60">
        <f t="shared" ref="E60:E65" si="14">E59-2.85</f>
        <v>14.249999999999998</v>
      </c>
    </row>
    <row r="61" spans="1:5">
      <c r="B61">
        <v>217.39</v>
      </c>
      <c r="C61">
        <v>70.167299999999997</v>
      </c>
      <c r="D61">
        <f t="shared" si="13"/>
        <v>41.4</v>
      </c>
      <c r="E61">
        <f t="shared" si="14"/>
        <v>11.399999999999999</v>
      </c>
    </row>
    <row r="62" spans="1:5">
      <c r="B62">
        <v>248.86500000000001</v>
      </c>
      <c r="C62">
        <v>71.036100000000005</v>
      </c>
      <c r="D62">
        <f t="shared" si="13"/>
        <v>41.4</v>
      </c>
      <c r="E62">
        <f t="shared" si="14"/>
        <v>8.5499999999999989</v>
      </c>
    </row>
    <row r="63" spans="1:5">
      <c r="B63">
        <v>280.548</v>
      </c>
      <c r="C63">
        <v>71.309200000000004</v>
      </c>
      <c r="D63">
        <f t="shared" si="13"/>
        <v>41.4</v>
      </c>
      <c r="E63">
        <f t="shared" si="14"/>
        <v>5.6999999999999993</v>
      </c>
    </row>
    <row r="64" spans="1:5">
      <c r="B64">
        <v>312.03399999999999</v>
      </c>
      <c r="C64">
        <v>71.6083</v>
      </c>
      <c r="D64">
        <f t="shared" si="13"/>
        <v>41.4</v>
      </c>
      <c r="E64">
        <f t="shared" si="14"/>
        <v>2.8499999999999992</v>
      </c>
    </row>
    <row r="65" spans="2:5">
      <c r="B65">
        <v>343.85399999999998</v>
      </c>
      <c r="C65">
        <v>72.207400000000007</v>
      </c>
      <c r="D65">
        <f>D57-2.85</f>
        <v>41.4</v>
      </c>
      <c r="E65">
        <f t="shared" si="14"/>
        <v>0</v>
      </c>
    </row>
    <row r="66" spans="2:5">
      <c r="B66">
        <v>110.67</v>
      </c>
      <c r="C66">
        <v>79.627799999999993</v>
      </c>
      <c r="D66">
        <f>D58-2.85</f>
        <v>38.549999999999997</v>
      </c>
      <c r="E66">
        <v>19.95</v>
      </c>
    </row>
    <row r="67" spans="2:5">
      <c r="B67">
        <v>141.67099999999999</v>
      </c>
      <c r="C67">
        <v>81.069999999999993</v>
      </c>
      <c r="D67">
        <f t="shared" ref="D67:D73" si="15">D59-2.85</f>
        <v>38.549999999999997</v>
      </c>
      <c r="E67">
        <f>E66-2.85</f>
        <v>17.099999999999998</v>
      </c>
    </row>
    <row r="68" spans="2:5">
      <c r="B68">
        <v>176.98599999999999</v>
      </c>
      <c r="C68">
        <v>80.894000000000005</v>
      </c>
      <c r="D68">
        <f t="shared" si="15"/>
        <v>38.549999999999997</v>
      </c>
      <c r="E68">
        <f t="shared" ref="E68:E73" si="16">E67-2.85</f>
        <v>14.249999999999998</v>
      </c>
    </row>
    <row r="69" spans="2:5">
      <c r="B69">
        <v>210.30699999999999</v>
      </c>
      <c r="C69">
        <v>81.263800000000003</v>
      </c>
      <c r="D69">
        <f t="shared" si="15"/>
        <v>38.549999999999997</v>
      </c>
      <c r="E69">
        <f t="shared" si="16"/>
        <v>11.399999999999999</v>
      </c>
    </row>
    <row r="70" spans="2:5">
      <c r="B70">
        <v>243.69499999999999</v>
      </c>
      <c r="C70">
        <v>81.964600000000004</v>
      </c>
      <c r="D70">
        <f t="shared" si="15"/>
        <v>38.549999999999997</v>
      </c>
      <c r="E70">
        <f t="shared" si="16"/>
        <v>8.5499999999999989</v>
      </c>
    </row>
    <row r="71" spans="2:5">
      <c r="B71">
        <v>276.92500000000001</v>
      </c>
      <c r="C71">
        <v>82.1755</v>
      </c>
      <c r="D71">
        <f t="shared" si="15"/>
        <v>38.549999999999997</v>
      </c>
      <c r="E71">
        <f t="shared" si="16"/>
        <v>5.6999999999999993</v>
      </c>
    </row>
    <row r="72" spans="2:5">
      <c r="B72">
        <v>310.43299999999999</v>
      </c>
      <c r="C72">
        <v>82.848500000000001</v>
      </c>
      <c r="D72">
        <f t="shared" si="15"/>
        <v>38.549999999999997</v>
      </c>
      <c r="E72">
        <f t="shared" si="16"/>
        <v>2.8499999999999992</v>
      </c>
    </row>
    <row r="73" spans="2:5">
      <c r="B73">
        <v>344.012</v>
      </c>
      <c r="C73">
        <v>82.977000000000004</v>
      </c>
      <c r="D73">
        <f t="shared" si="15"/>
        <v>38.549999999999997</v>
      </c>
      <c r="E73">
        <f t="shared" si="16"/>
        <v>0</v>
      </c>
    </row>
    <row r="74" spans="2:5">
      <c r="B74">
        <v>94.567999999999998</v>
      </c>
      <c r="C74">
        <v>92.248800000000003</v>
      </c>
      <c r="D74">
        <f>D66-2.85</f>
        <v>35.699999999999996</v>
      </c>
      <c r="E74">
        <v>19.95</v>
      </c>
    </row>
    <row r="75" spans="2:5">
      <c r="B75">
        <v>131.279</v>
      </c>
      <c r="C75">
        <v>92.751199999999997</v>
      </c>
      <c r="D75">
        <f t="shared" ref="D75:D81" si="17">D67-2.85</f>
        <v>35.699999999999996</v>
      </c>
      <c r="E75">
        <f>E74-2.85</f>
        <v>17.099999999999998</v>
      </c>
    </row>
    <row r="76" spans="2:5">
      <c r="B76">
        <v>166.52099999999999</v>
      </c>
      <c r="C76">
        <v>93.595600000000005</v>
      </c>
      <c r="D76">
        <f t="shared" si="17"/>
        <v>35.699999999999996</v>
      </c>
      <c r="E76">
        <f t="shared" ref="E76:E81" si="18">E75-2.85</f>
        <v>14.249999999999998</v>
      </c>
    </row>
    <row r="77" spans="2:5">
      <c r="B77">
        <v>202.31800000000001</v>
      </c>
      <c r="C77">
        <v>93.787300000000002</v>
      </c>
      <c r="D77">
        <f t="shared" si="17"/>
        <v>35.699999999999996</v>
      </c>
      <c r="E77">
        <f t="shared" si="18"/>
        <v>11.399999999999999</v>
      </c>
    </row>
    <row r="78" spans="2:5">
      <c r="B78">
        <v>237.547</v>
      </c>
      <c r="C78">
        <v>93.858699999999999</v>
      </c>
      <c r="D78">
        <f t="shared" si="17"/>
        <v>35.699999999999996</v>
      </c>
      <c r="E78">
        <f t="shared" si="18"/>
        <v>8.5499999999999989</v>
      </c>
    </row>
    <row r="79" spans="2:5">
      <c r="B79">
        <v>272.93200000000002</v>
      </c>
      <c r="C79">
        <v>94.321600000000004</v>
      </c>
      <c r="D79">
        <f t="shared" si="17"/>
        <v>35.699999999999996</v>
      </c>
      <c r="E79">
        <f t="shared" si="18"/>
        <v>5.6999999999999993</v>
      </c>
    </row>
    <row r="80" spans="2:5">
      <c r="B80">
        <v>308.52999999999997</v>
      </c>
      <c r="C80">
        <v>94.631200000000007</v>
      </c>
      <c r="D80">
        <f t="shared" si="17"/>
        <v>35.699999999999996</v>
      </c>
      <c r="E80">
        <f t="shared" si="18"/>
        <v>2.8499999999999992</v>
      </c>
    </row>
    <row r="81" spans="2:5">
      <c r="B81">
        <v>344.322</v>
      </c>
      <c r="C81">
        <v>94.934899999999999</v>
      </c>
      <c r="D81">
        <f t="shared" si="17"/>
        <v>35.699999999999996</v>
      </c>
      <c r="E81">
        <f t="shared" si="18"/>
        <v>0</v>
      </c>
    </row>
    <row r="82" spans="2:5">
      <c r="B82">
        <v>79.578100000000006</v>
      </c>
      <c r="C82">
        <v>105.61799999999999</v>
      </c>
      <c r="D82">
        <f>D74-2.85</f>
        <v>32.849999999999994</v>
      </c>
      <c r="E82">
        <v>19.95</v>
      </c>
    </row>
    <row r="83" spans="2:5">
      <c r="B83">
        <v>116.295</v>
      </c>
      <c r="C83">
        <v>107.301</v>
      </c>
      <c r="D83">
        <f t="shared" ref="D83:D89" si="19">D75-2.85</f>
        <v>32.849999999999994</v>
      </c>
      <c r="E83">
        <f>E82-2.85</f>
        <v>17.099999999999998</v>
      </c>
    </row>
    <row r="84" spans="2:5">
      <c r="B84">
        <v>155.90199999999999</v>
      </c>
      <c r="C84">
        <v>106.999</v>
      </c>
      <c r="D84">
        <f t="shared" si="19"/>
        <v>32.849999999999994</v>
      </c>
      <c r="E84">
        <f t="shared" ref="E84:E89" si="20">E83-2.85</f>
        <v>14.249999999999998</v>
      </c>
    </row>
    <row r="85" spans="2:5">
      <c r="B85">
        <v>192.78</v>
      </c>
      <c r="C85">
        <v>107.571</v>
      </c>
      <c r="D85">
        <f t="shared" si="19"/>
        <v>32.849999999999994</v>
      </c>
      <c r="E85">
        <f t="shared" si="20"/>
        <v>11.399999999999999</v>
      </c>
    </row>
    <row r="86" spans="2:5">
      <c r="B86">
        <v>230.602</v>
      </c>
      <c r="C86">
        <v>107.55200000000001</v>
      </c>
      <c r="D86">
        <f t="shared" si="19"/>
        <v>32.849999999999994</v>
      </c>
      <c r="E86">
        <f t="shared" si="20"/>
        <v>8.5499999999999989</v>
      </c>
    </row>
    <row r="87" spans="2:5">
      <c r="B87">
        <v>268.38</v>
      </c>
      <c r="C87">
        <v>108.02</v>
      </c>
      <c r="D87">
        <f t="shared" si="19"/>
        <v>32.849999999999994</v>
      </c>
      <c r="E87">
        <f t="shared" si="20"/>
        <v>5.6999999999999993</v>
      </c>
    </row>
    <row r="88" spans="2:5">
      <c r="B88">
        <v>306.46499999999997</v>
      </c>
      <c r="C88">
        <v>108.446</v>
      </c>
      <c r="D88">
        <f t="shared" si="19"/>
        <v>32.849999999999994</v>
      </c>
      <c r="E88">
        <f t="shared" si="20"/>
        <v>2.8499999999999992</v>
      </c>
    </row>
    <row r="89" spans="2:5">
      <c r="B89">
        <v>344.63400000000001</v>
      </c>
      <c r="C89">
        <v>108.736</v>
      </c>
      <c r="D89">
        <f t="shared" si="19"/>
        <v>32.849999999999994</v>
      </c>
      <c r="E89">
        <f t="shared" si="20"/>
        <v>0</v>
      </c>
    </row>
    <row r="90" spans="2:5">
      <c r="B90">
        <v>57.719099999999997</v>
      </c>
      <c r="C90">
        <v>124.53700000000001</v>
      </c>
      <c r="D90">
        <f>D82-2.85</f>
        <v>29.999999999999993</v>
      </c>
      <c r="E90">
        <v>19.95</v>
      </c>
    </row>
    <row r="91" spans="2:5">
      <c r="B91">
        <v>101.48099999999999</v>
      </c>
      <c r="C91">
        <v>123.205</v>
      </c>
      <c r="D91">
        <f t="shared" ref="D91:D97" si="21">D83-2.85</f>
        <v>29.999999999999993</v>
      </c>
      <c r="E91">
        <f>E90-2.85</f>
        <v>17.099999999999998</v>
      </c>
    </row>
    <row r="92" spans="2:5">
      <c r="B92">
        <v>142.37100000000001</v>
      </c>
      <c r="C92">
        <v>123.387</v>
      </c>
      <c r="D92">
        <f t="shared" si="21"/>
        <v>29.999999999999993</v>
      </c>
      <c r="E92">
        <f t="shared" ref="E92:E97" si="22">E91-2.85</f>
        <v>14.249999999999998</v>
      </c>
    </row>
    <row r="93" spans="2:5">
      <c r="B93">
        <v>182.59200000000001</v>
      </c>
      <c r="C93">
        <v>123.72799999999999</v>
      </c>
      <c r="D93">
        <f t="shared" si="21"/>
        <v>29.999999999999993</v>
      </c>
      <c r="E93">
        <f t="shared" si="22"/>
        <v>11.399999999999999</v>
      </c>
    </row>
    <row r="94" spans="2:5">
      <c r="B94">
        <v>222.86</v>
      </c>
      <c r="C94">
        <v>125.07599999999999</v>
      </c>
      <c r="D94">
        <f t="shared" si="21"/>
        <v>29.999999999999993</v>
      </c>
      <c r="E94">
        <f t="shared" si="22"/>
        <v>8.5499999999999989</v>
      </c>
    </row>
    <row r="95" spans="2:5">
      <c r="B95">
        <v>263.35599999999999</v>
      </c>
      <c r="C95">
        <v>124.706</v>
      </c>
      <c r="D95">
        <f t="shared" si="21"/>
        <v>29.999999999999993</v>
      </c>
      <c r="E95">
        <f t="shared" si="22"/>
        <v>5.6999999999999993</v>
      </c>
    </row>
    <row r="96" spans="2:5">
      <c r="B96">
        <v>304.06900000000002</v>
      </c>
      <c r="C96">
        <v>124.874</v>
      </c>
      <c r="D96">
        <f t="shared" si="21"/>
        <v>29.999999999999993</v>
      </c>
      <c r="E96">
        <f t="shared" si="22"/>
        <v>2.8499999999999992</v>
      </c>
    </row>
    <row r="97" spans="1:7">
      <c r="B97">
        <v>344.98399999999998</v>
      </c>
      <c r="C97">
        <v>125.616</v>
      </c>
      <c r="D97">
        <f t="shared" si="21"/>
        <v>29.999999999999993</v>
      </c>
      <c r="E97">
        <f t="shared" si="22"/>
        <v>0</v>
      </c>
    </row>
    <row r="98" spans="1:7">
      <c r="A98">
        <v>3</v>
      </c>
      <c r="B98">
        <v>218.70099999999999</v>
      </c>
      <c r="C98">
        <v>25.3794</v>
      </c>
      <c r="D98">
        <v>47.6</v>
      </c>
      <c r="E98">
        <v>11.4</v>
      </c>
    </row>
    <row r="99" spans="1:7">
      <c r="B99">
        <v>247.816</v>
      </c>
      <c r="C99">
        <v>24.756900000000002</v>
      </c>
      <c r="D99">
        <v>47.6</v>
      </c>
      <c r="E99">
        <v>8.5500000000000007</v>
      </c>
      <c r="G99">
        <v>2.85</v>
      </c>
    </row>
    <row r="100" spans="1:7">
      <c r="B100">
        <v>277.07499999999999</v>
      </c>
      <c r="C100">
        <v>24.132400000000001</v>
      </c>
      <c r="D100">
        <v>47.6</v>
      </c>
      <c r="E100">
        <v>5.7000000000000011</v>
      </c>
    </row>
    <row r="101" spans="1:7">
      <c r="B101">
        <v>306.18299999999999</v>
      </c>
      <c r="C101">
        <v>23.3476</v>
      </c>
      <c r="D101">
        <v>47.6</v>
      </c>
      <c r="E101">
        <v>2.850000000000001</v>
      </c>
    </row>
    <row r="102" spans="1:7">
      <c r="B102">
        <v>335.41899999999998</v>
      </c>
      <c r="C102">
        <v>22.605</v>
      </c>
      <c r="D102">
        <v>47.6</v>
      </c>
      <c r="E102">
        <v>0</v>
      </c>
    </row>
    <row r="103" spans="1:7">
      <c r="B103">
        <v>364.596</v>
      </c>
      <c r="C103">
        <v>21.218699999999998</v>
      </c>
      <c r="D103">
        <v>47.6</v>
      </c>
      <c r="E103">
        <v>-2.85</v>
      </c>
    </row>
    <row r="104" spans="1:7">
      <c r="B104">
        <v>394.13900000000001</v>
      </c>
      <c r="C104">
        <v>20.7315</v>
      </c>
      <c r="D104">
        <v>47.6</v>
      </c>
      <c r="E104">
        <v>-5.7</v>
      </c>
    </row>
    <row r="105" spans="1:7">
      <c r="B105">
        <v>423.53500000000003</v>
      </c>
      <c r="C105">
        <v>20.110800000000001</v>
      </c>
      <c r="D105">
        <v>47.6</v>
      </c>
      <c r="E105">
        <v>-8.5500000000000007</v>
      </c>
    </row>
    <row r="106" spans="1:7">
      <c r="B106">
        <v>212.68700000000001</v>
      </c>
      <c r="C106">
        <v>35.242899999999999</v>
      </c>
      <c r="D106">
        <v>44.75</v>
      </c>
      <c r="E106">
        <v>11.4</v>
      </c>
    </row>
    <row r="107" spans="1:7">
      <c r="B107">
        <v>243.46100000000001</v>
      </c>
      <c r="C107">
        <v>34.65</v>
      </c>
      <c r="D107">
        <v>44.75</v>
      </c>
      <c r="E107">
        <v>8.5500000000000007</v>
      </c>
    </row>
    <row r="108" spans="1:7">
      <c r="B108">
        <v>274.274</v>
      </c>
      <c r="C108">
        <v>33.807699999999997</v>
      </c>
      <c r="D108">
        <v>44.75</v>
      </c>
      <c r="E108">
        <v>5.7000000000000011</v>
      </c>
    </row>
    <row r="109" spans="1:7">
      <c r="B109">
        <v>305.03399999999999</v>
      </c>
      <c r="C109">
        <v>32.878100000000003</v>
      </c>
      <c r="D109">
        <v>44.75</v>
      </c>
      <c r="E109">
        <v>2.850000000000001</v>
      </c>
    </row>
    <row r="110" spans="1:7">
      <c r="B110">
        <v>335.76100000000002</v>
      </c>
      <c r="C110">
        <v>32.2194</v>
      </c>
      <c r="D110">
        <v>44.75</v>
      </c>
      <c r="E110">
        <v>0</v>
      </c>
    </row>
    <row r="111" spans="1:7">
      <c r="B111">
        <v>366.51400000000001</v>
      </c>
      <c r="C111">
        <v>31.351900000000001</v>
      </c>
      <c r="D111">
        <v>44.75</v>
      </c>
      <c r="E111">
        <v>-2.85</v>
      </c>
    </row>
    <row r="112" spans="1:7">
      <c r="B112">
        <v>397.49200000000002</v>
      </c>
      <c r="C112">
        <v>30.3949</v>
      </c>
      <c r="D112">
        <v>44.75</v>
      </c>
      <c r="E112">
        <v>-5.7</v>
      </c>
    </row>
    <row r="113" spans="2:5">
      <c r="B113">
        <v>428.71600000000001</v>
      </c>
      <c r="C113">
        <v>30.0016</v>
      </c>
      <c r="D113">
        <v>44.75</v>
      </c>
      <c r="E113">
        <v>-8.5500000000000007</v>
      </c>
    </row>
    <row r="114" spans="2:5">
      <c r="B114">
        <v>206.33500000000001</v>
      </c>
      <c r="C114">
        <v>45.9373</v>
      </c>
      <c r="D114">
        <v>41.9</v>
      </c>
      <c r="E114">
        <v>11.4</v>
      </c>
    </row>
    <row r="115" spans="2:5">
      <c r="B115">
        <v>238.797</v>
      </c>
      <c r="C115">
        <v>45.367199999999997</v>
      </c>
      <c r="D115">
        <v>41.9</v>
      </c>
      <c r="E115">
        <v>8.5500000000000007</v>
      </c>
    </row>
    <row r="116" spans="2:5">
      <c r="B116">
        <v>271.32600000000002</v>
      </c>
      <c r="C116">
        <v>44.763199999999998</v>
      </c>
      <c r="D116">
        <v>41.9</v>
      </c>
      <c r="E116">
        <v>5.7000000000000011</v>
      </c>
    </row>
    <row r="117" spans="2:5">
      <c r="B117">
        <v>303.75400000000002</v>
      </c>
      <c r="C117">
        <v>43.714300000000001</v>
      </c>
      <c r="D117">
        <v>41.9</v>
      </c>
      <c r="E117">
        <v>2.850000000000001</v>
      </c>
    </row>
    <row r="118" spans="2:5">
      <c r="B118">
        <v>336.13400000000001</v>
      </c>
      <c r="C118">
        <v>43.116100000000003</v>
      </c>
      <c r="D118">
        <v>41.9</v>
      </c>
      <c r="E118">
        <v>0</v>
      </c>
    </row>
    <row r="119" spans="2:5">
      <c r="B119">
        <v>368.63600000000002</v>
      </c>
      <c r="C119">
        <v>41.974499999999999</v>
      </c>
      <c r="D119">
        <v>41.9</v>
      </c>
      <c r="E119">
        <v>-2.85</v>
      </c>
    </row>
    <row r="120" spans="2:5">
      <c r="B120">
        <v>401.334</v>
      </c>
      <c r="C120">
        <v>41.403500000000001</v>
      </c>
      <c r="D120">
        <v>41.9</v>
      </c>
      <c r="E120">
        <v>-5.7</v>
      </c>
    </row>
    <row r="121" spans="2:5">
      <c r="B121">
        <v>434.28500000000003</v>
      </c>
      <c r="C121">
        <v>40.545299999999997</v>
      </c>
      <c r="D121">
        <v>41.9</v>
      </c>
      <c r="E121">
        <v>-8.5500000000000007</v>
      </c>
    </row>
    <row r="122" spans="2:5">
      <c r="B122">
        <v>199.03899999999999</v>
      </c>
      <c r="C122">
        <v>57.362099999999998</v>
      </c>
      <c r="D122">
        <f>41.9-2.85</f>
        <v>39.049999999999997</v>
      </c>
      <c r="E122">
        <v>11.4</v>
      </c>
    </row>
    <row r="123" spans="2:5">
      <c r="B123">
        <v>233.53700000000001</v>
      </c>
      <c r="C123">
        <v>57.051900000000003</v>
      </c>
      <c r="D123">
        <f t="shared" ref="D123:D129" si="23">41.9-2.85</f>
        <v>39.049999999999997</v>
      </c>
      <c r="E123">
        <v>8.5500000000000007</v>
      </c>
    </row>
    <row r="124" spans="2:5">
      <c r="B124">
        <v>268.07600000000002</v>
      </c>
      <c r="C124">
        <v>56.439599999999999</v>
      </c>
      <c r="D124">
        <f t="shared" si="23"/>
        <v>39.049999999999997</v>
      </c>
      <c r="E124">
        <v>5.7000000000000011</v>
      </c>
    </row>
    <row r="125" spans="2:5">
      <c r="B125">
        <v>302.30200000000002</v>
      </c>
      <c r="C125">
        <v>55.691200000000002</v>
      </c>
      <c r="D125">
        <f t="shared" si="23"/>
        <v>39.049999999999997</v>
      </c>
      <c r="E125">
        <v>2.850000000000001</v>
      </c>
    </row>
    <row r="126" spans="2:5">
      <c r="B126">
        <v>336.53300000000002</v>
      </c>
      <c r="C126">
        <v>54.510300000000001</v>
      </c>
      <c r="D126">
        <f t="shared" si="23"/>
        <v>39.049999999999997</v>
      </c>
      <c r="E126">
        <v>0</v>
      </c>
    </row>
    <row r="127" spans="2:5">
      <c r="B127">
        <v>371.05900000000003</v>
      </c>
      <c r="C127">
        <v>53.819299999999998</v>
      </c>
      <c r="D127">
        <f t="shared" si="23"/>
        <v>39.049999999999997</v>
      </c>
      <c r="E127">
        <v>-2.85</v>
      </c>
    </row>
    <row r="128" spans="2:5">
      <c r="B128">
        <v>405.65699999999998</v>
      </c>
      <c r="C128">
        <v>52.851500000000001</v>
      </c>
      <c r="D128">
        <f t="shared" si="23"/>
        <v>39.049999999999997</v>
      </c>
      <c r="E128">
        <v>-5.7</v>
      </c>
    </row>
    <row r="129" spans="2:5">
      <c r="B129">
        <v>440.5</v>
      </c>
      <c r="C129">
        <v>52.083199999999998</v>
      </c>
      <c r="D129">
        <f t="shared" si="23"/>
        <v>39.049999999999997</v>
      </c>
      <c r="E129">
        <v>-8.5500000000000007</v>
      </c>
    </row>
    <row r="130" spans="2:5">
      <c r="B130">
        <v>191.251</v>
      </c>
      <c r="C130">
        <v>70.421199999999999</v>
      </c>
      <c r="D130">
        <f>39.05-2.85</f>
        <v>36.199999999999996</v>
      </c>
      <c r="E130">
        <v>11.4</v>
      </c>
    </row>
    <row r="131" spans="2:5">
      <c r="B131">
        <v>227.703</v>
      </c>
      <c r="C131">
        <v>70.082999999999998</v>
      </c>
      <c r="D131">
        <f t="shared" ref="D131:D137" si="24">39.05-2.85</f>
        <v>36.199999999999996</v>
      </c>
      <c r="E131">
        <v>8.5500000000000007</v>
      </c>
    </row>
    <row r="132" spans="2:5">
      <c r="B132">
        <v>264.339</v>
      </c>
      <c r="C132">
        <v>69.3964</v>
      </c>
      <c r="D132">
        <f t="shared" si="24"/>
        <v>36.199999999999996</v>
      </c>
      <c r="E132">
        <v>5.7000000000000011</v>
      </c>
    </row>
    <row r="133" spans="2:5">
      <c r="B133">
        <v>300.68</v>
      </c>
      <c r="C133">
        <v>68.492500000000007</v>
      </c>
      <c r="D133">
        <f t="shared" si="24"/>
        <v>36.199999999999996</v>
      </c>
      <c r="E133">
        <v>2.850000000000001</v>
      </c>
    </row>
    <row r="134" spans="2:5">
      <c r="B134">
        <v>337.06799999999998</v>
      </c>
      <c r="C134">
        <v>67.287899999999993</v>
      </c>
      <c r="D134">
        <f t="shared" si="24"/>
        <v>36.199999999999996</v>
      </c>
      <c r="E134">
        <v>0</v>
      </c>
    </row>
    <row r="135" spans="2:5">
      <c r="B135">
        <v>373.68400000000003</v>
      </c>
      <c r="C135">
        <v>66.280299999999997</v>
      </c>
      <c r="D135">
        <f t="shared" si="24"/>
        <v>36.199999999999996</v>
      </c>
      <c r="E135">
        <v>-2.85</v>
      </c>
    </row>
    <row r="136" spans="2:5">
      <c r="B136">
        <v>410.54300000000001</v>
      </c>
      <c r="C136">
        <v>65.653599999999997</v>
      </c>
      <c r="D136">
        <f t="shared" si="24"/>
        <v>36.199999999999996</v>
      </c>
      <c r="E136">
        <v>-5.7</v>
      </c>
    </row>
    <row r="137" spans="2:5">
      <c r="B137">
        <v>447.411</v>
      </c>
      <c r="C137">
        <v>64.788200000000003</v>
      </c>
      <c r="D137">
        <f t="shared" si="24"/>
        <v>36.199999999999996</v>
      </c>
      <c r="E137">
        <v>-8.5500000000000007</v>
      </c>
    </row>
    <row r="138" spans="2:5">
      <c r="B138">
        <v>182.38300000000001</v>
      </c>
      <c r="C138">
        <v>85.918499999999995</v>
      </c>
      <c r="D138">
        <f>36.2-2.85</f>
        <v>33.35</v>
      </c>
      <c r="E138">
        <v>11.4</v>
      </c>
    </row>
    <row r="139" spans="2:5">
      <c r="B139">
        <v>221.16399999999999</v>
      </c>
      <c r="C139">
        <v>85.113699999999994</v>
      </c>
      <c r="D139">
        <f t="shared" ref="D139:D145" si="25">36.2-2.85</f>
        <v>33.35</v>
      </c>
      <c r="E139">
        <v>8.5500000000000007</v>
      </c>
    </row>
    <row r="140" spans="2:5">
      <c r="B140">
        <v>260.10199999999998</v>
      </c>
      <c r="C140">
        <v>84.4345</v>
      </c>
      <c r="D140">
        <f t="shared" si="25"/>
        <v>33.35</v>
      </c>
      <c r="E140">
        <v>5.7000000000000011</v>
      </c>
    </row>
    <row r="141" spans="2:5">
      <c r="B141">
        <v>298.84899999999999</v>
      </c>
      <c r="C141">
        <v>83.468000000000004</v>
      </c>
      <c r="D141">
        <f t="shared" si="25"/>
        <v>33.35</v>
      </c>
      <c r="E141">
        <v>2.850000000000001</v>
      </c>
    </row>
    <row r="142" spans="2:5">
      <c r="B142">
        <v>337.685</v>
      </c>
      <c r="C142">
        <v>82.700199999999995</v>
      </c>
      <c r="D142">
        <f t="shared" si="25"/>
        <v>33.35</v>
      </c>
      <c r="E142">
        <v>0</v>
      </c>
    </row>
    <row r="143" spans="2:5">
      <c r="B143">
        <v>376.709</v>
      </c>
      <c r="C143">
        <v>81.501199999999997</v>
      </c>
      <c r="D143">
        <f t="shared" si="25"/>
        <v>33.35</v>
      </c>
      <c r="E143">
        <v>-2.85</v>
      </c>
    </row>
    <row r="144" spans="2:5">
      <c r="B144">
        <v>415.92700000000002</v>
      </c>
      <c r="C144">
        <v>80.272900000000007</v>
      </c>
      <c r="D144">
        <f t="shared" si="25"/>
        <v>33.35</v>
      </c>
      <c r="E144">
        <v>-5.7</v>
      </c>
    </row>
    <row r="145" spans="1:5">
      <c r="B145">
        <v>455.35199999999998</v>
      </c>
      <c r="C145">
        <v>79.707800000000006</v>
      </c>
      <c r="D145">
        <f t="shared" si="25"/>
        <v>33.35</v>
      </c>
      <c r="E145">
        <v>-8.5500000000000007</v>
      </c>
    </row>
    <row r="146" spans="1:5">
      <c r="A146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가득 한</dc:creator>
  <cp:lastModifiedBy>가득 한</cp:lastModifiedBy>
  <dcterms:created xsi:type="dcterms:W3CDTF">2025-09-04T06:19:52Z</dcterms:created>
  <dcterms:modified xsi:type="dcterms:W3CDTF">2025-09-05T07:56:14Z</dcterms:modified>
</cp:coreProperties>
</file>